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ctive\18a\d001\results\"/>
    </mc:Choice>
  </mc:AlternateContent>
  <xr:revisionPtr revIDLastSave="0" documentId="13_ncr:1_{37A6F7E1-BA27-432E-9013-5B5896EFA513}" xr6:coauthVersionLast="47" xr6:coauthVersionMax="47" xr10:uidLastSave="{00000000-0000-0000-0000-000000000000}"/>
  <bookViews>
    <workbookView xWindow="28680" yWindow="-120" windowWidth="29040" windowHeight="15720" xr2:uid="{14A2FF78-EC10-4F76-8646-B2A1AC2E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2" i="1" l="1"/>
  <c r="W12" i="1"/>
  <c r="X11" i="1"/>
  <c r="W11" i="1"/>
  <c r="X10" i="1"/>
  <c r="W10" i="1"/>
  <c r="X9" i="1"/>
  <c r="W9" i="1"/>
  <c r="G11" i="1"/>
  <c r="H11" i="1"/>
  <c r="O12" i="1"/>
  <c r="P12" i="1"/>
  <c r="O11" i="1"/>
  <c r="P11" i="1"/>
  <c r="Q4" i="1"/>
  <c r="Q8" i="1"/>
  <c r="Q7" i="1"/>
  <c r="Q6" i="1"/>
  <c r="Q5" i="1"/>
  <c r="Q3" i="1"/>
  <c r="X4" i="1"/>
  <c r="X8" i="1"/>
  <c r="X7" i="1"/>
  <c r="X6" i="1"/>
  <c r="X5" i="1"/>
  <c r="X3" i="1"/>
  <c r="P4" i="1"/>
  <c r="P5" i="1"/>
  <c r="P6" i="1"/>
  <c r="P7" i="1"/>
  <c r="P8" i="1"/>
  <c r="P9" i="1"/>
  <c r="P10" i="1"/>
  <c r="P3" i="1"/>
  <c r="A8" i="1"/>
  <c r="A7" i="1"/>
  <c r="A6" i="1"/>
  <c r="A5" i="1"/>
  <c r="A4" i="1"/>
  <c r="A3" i="1"/>
  <c r="W8" i="1"/>
  <c r="W7" i="1"/>
  <c r="W5" i="1"/>
  <c r="W6" i="1"/>
  <c r="H10" i="1"/>
  <c r="H9" i="1"/>
  <c r="H8" i="1"/>
  <c r="H7" i="1"/>
  <c r="H6" i="1"/>
  <c r="H5" i="1"/>
  <c r="H4" i="1"/>
  <c r="H3" i="1"/>
  <c r="W4" i="1"/>
  <c r="W3" i="1"/>
  <c r="O10" i="1"/>
  <c r="O9" i="1"/>
  <c r="O8" i="1"/>
  <c r="O7" i="1"/>
  <c r="O6" i="1"/>
  <c r="O5" i="1"/>
  <c r="O4" i="1"/>
  <c r="O3" i="1"/>
  <c r="G10" i="1"/>
  <c r="G9" i="1"/>
  <c r="G4" i="1"/>
  <c r="G5" i="1"/>
  <c r="G6" i="1"/>
  <c r="G7" i="1"/>
  <c r="G8" i="1"/>
  <c r="G3" i="1"/>
</calcChain>
</file>

<file path=xl/sharedStrings.xml><?xml version="1.0" encoding="utf-8"?>
<sst xmlns="http://schemas.openxmlformats.org/spreadsheetml/2006/main" count="60" uniqueCount="19">
  <si>
    <t>pyfem</t>
    <phoneticPr fontId="1"/>
  </si>
  <si>
    <t>abaqus</t>
    <phoneticPr fontId="1"/>
  </si>
  <si>
    <t>u</t>
    <phoneticPr fontId="1"/>
  </si>
  <si>
    <t>v</t>
    <phoneticPr fontId="1"/>
  </si>
  <si>
    <t>quads</t>
    <phoneticPr fontId="1"/>
  </si>
  <si>
    <t>tri</t>
    <phoneticPr fontId="1"/>
  </si>
  <si>
    <t>error</t>
    <phoneticPr fontId="1"/>
  </si>
  <si>
    <t>quads+tri</t>
    <phoneticPr fontId="1"/>
  </si>
  <si>
    <t>tensile</t>
    <phoneticPr fontId="1"/>
  </si>
  <si>
    <t>shear</t>
    <phoneticPr fontId="1"/>
  </si>
  <si>
    <t>cutter</t>
    <phoneticPr fontId="1"/>
  </si>
  <si>
    <t>scale</t>
    <phoneticPr fontId="1"/>
  </si>
  <si>
    <t>四角形</t>
    <rPh sb="0" eb="3">
      <t>シカッケイ</t>
    </rPh>
    <phoneticPr fontId="1"/>
  </si>
  <si>
    <t>三角形</t>
    <rPh sb="0" eb="3">
      <t>サンカッケイ</t>
    </rPh>
    <phoneticPr fontId="1"/>
  </si>
  <si>
    <t>四角形+三角形</t>
    <rPh sb="0" eb="3">
      <t>シカッケイ</t>
    </rPh>
    <rPh sb="4" eb="7">
      <t>サンカッケイ</t>
    </rPh>
    <phoneticPr fontId="1"/>
  </si>
  <si>
    <t>x</t>
    <phoneticPr fontId="1"/>
  </si>
  <si>
    <t>y</t>
    <phoneticPr fontId="1"/>
  </si>
  <si>
    <t>四角形1</t>
    <rPh sb="0" eb="3">
      <t>シカッケイ</t>
    </rPh>
    <phoneticPr fontId="1"/>
  </si>
  <si>
    <t>四角形2</t>
    <rPh sb="0" eb="3">
      <t>シカッケイ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</si>
</sst>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Sheet1!$A$3:$A$8</c:f>
              <c:strCache>
                <c:ptCount val="6"/>
                <c:pt idx="0">
                  <c:v>四角形(x)</c:v>
                </c:pt>
                <c:pt idx="1">
                  <c:v>四角形(y)</c:v>
                </c:pt>
                <c:pt idx="2">
                  <c:v>三角形(x)</c:v>
                </c:pt>
                <c:pt idx="3">
                  <c:v>三角形(y)</c:v>
                </c:pt>
                <c:pt idx="4">
                  <c:v>四角形+三角形(x)</c:v>
                </c:pt>
                <c:pt idx="5">
                  <c:v>四角形+三角形(y)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Sheet1!$A$3:$A$8</c:f>
              <c:strCache>
                <c:ptCount val="6"/>
                <c:pt idx="0">
                  <c:v>四角形(x)</c:v>
                </c:pt>
                <c:pt idx="1">
                  <c:v>四角形(y)</c:v>
                </c:pt>
                <c:pt idx="2">
                  <c:v>三角形(x)</c:v>
                </c:pt>
                <c:pt idx="3">
                  <c:v>三角形(y)</c:v>
                </c:pt>
                <c:pt idx="4">
                  <c:v>四角形+三角形(x)</c:v>
                </c:pt>
                <c:pt idx="5">
                  <c:v>四角形+三角形(y)</c:v>
                </c:pt>
              </c:strCache>
            </c:strRef>
          </c:cat>
          <c:val>
            <c:numRef>
              <c:f>Sheet1!$H$3:$H$8</c:f>
              <c:numCache>
                <c:formatCode>0.00_);[Red]\(0.00\)</c:formatCode>
                <c:ptCount val="6"/>
                <c:pt idx="0">
                  <c:v>1.5250000293269237</c:v>
                </c:pt>
                <c:pt idx="1">
                  <c:v>1.0675000205288463</c:v>
                </c:pt>
                <c:pt idx="2">
                  <c:v>1</c:v>
                </c:pt>
                <c:pt idx="3">
                  <c:v>1.0002019250185097</c:v>
                </c:pt>
                <c:pt idx="4">
                  <c:v>1</c:v>
                </c:pt>
                <c:pt idx="5">
                  <c:v>1.016872551973486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C-48E5-8BA8-FA19EF34E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399680"/>
        <c:axId val="993390080"/>
      </c:barChart>
      <c:catAx>
        <c:axId val="993399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defRPr>
                </a:pPr>
                <a:r>
                  <a:rPr lang="ja-JP"/>
                  <a:t>要素の条件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993390080"/>
        <c:crosses val="autoZero"/>
        <c:auto val="1"/>
        <c:lblAlgn val="ctr"/>
        <c:lblOffset val="100"/>
        <c:noMultiLvlLbl val="0"/>
      </c:catAx>
      <c:valAx>
        <c:axId val="9933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defRPr>
                </a:pPr>
                <a:r>
                  <a:rPr lang="ja-JP" altLang="en-US"/>
                  <a:t>変位</a:t>
                </a:r>
                <a:r>
                  <a:rPr lang="ja-JP"/>
                  <a:t>の倍率</a:t>
                </a:r>
                <a:r>
                  <a:rPr lang="en-US"/>
                  <a:t>(</a:t>
                </a:r>
                <a:r>
                  <a:rPr lang="ja-JP"/>
                  <a:t>自作</a:t>
                </a:r>
                <a:r>
                  <a:rPr lang="en-US"/>
                  <a:t>/abaqus)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99339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メイリオ" panose="020B0604030504040204" pitchFamily="50" charset="-128"/>
          <a:ea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Sheet1!$A$3:$A$8</c:f>
              <c:strCache>
                <c:ptCount val="6"/>
                <c:pt idx="0">
                  <c:v>四角形(x)</c:v>
                </c:pt>
                <c:pt idx="1">
                  <c:v>四角形(y)</c:v>
                </c:pt>
                <c:pt idx="2">
                  <c:v>三角形(x)</c:v>
                </c:pt>
                <c:pt idx="3">
                  <c:v>三角形(y)</c:v>
                </c:pt>
                <c:pt idx="4">
                  <c:v>四角形+三角形(x)</c:v>
                </c:pt>
                <c:pt idx="5">
                  <c:v>四角形+三角形(y)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Sheet1!$A$3:$A$8</c15:sqref>
                  </c15:fullRef>
                </c:ext>
              </c:extLst>
              <c:f>(Sheet1!$A$3,Sheet1!$A$5,Sheet1!$A$7)</c:f>
              <c:strCache>
                <c:ptCount val="3"/>
                <c:pt idx="0">
                  <c:v>四角形(x)</c:v>
                </c:pt>
                <c:pt idx="1">
                  <c:v>三角形(x)</c:v>
                </c:pt>
                <c:pt idx="2">
                  <c:v>四角形+三角形(x)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Sheet1!$P$3:$P$8</c15:sqref>
                  </c15:fullRef>
                </c:ext>
              </c:extLst>
              <c:f>(Sheet1!$P$3,Sheet1!$P$5,Sheet1!$P$7)</c:f>
              <c:numCache>
                <c:formatCode>0.00_);[Red]\(0.00\)</c:formatCode>
                <c:ptCount val="3"/>
                <c:pt idx="0">
                  <c:v>1.9072386753936912</c:v>
                </c:pt>
                <c:pt idx="1">
                  <c:v>1</c:v>
                </c:pt>
                <c:pt idx="2">
                  <c:v>5.5128205128205128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C-48E5-8BA8-FA19EF34E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399680"/>
        <c:axId val="993390080"/>
      </c:barChart>
      <c:catAx>
        <c:axId val="993399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defRPr>
                </a:pPr>
                <a:r>
                  <a:rPr lang="ja-JP"/>
                  <a:t>要素の条件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993390080"/>
        <c:crosses val="autoZero"/>
        <c:auto val="1"/>
        <c:lblAlgn val="ctr"/>
        <c:lblOffset val="100"/>
        <c:noMultiLvlLbl val="0"/>
      </c:catAx>
      <c:valAx>
        <c:axId val="9933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defRPr>
                </a:pPr>
                <a:r>
                  <a:rPr lang="ja-JP" altLang="en-US"/>
                  <a:t>変位</a:t>
                </a:r>
                <a:r>
                  <a:rPr lang="ja-JP"/>
                  <a:t>の倍率</a:t>
                </a:r>
                <a:r>
                  <a:rPr lang="en-US"/>
                  <a:t>(</a:t>
                </a:r>
                <a:r>
                  <a:rPr lang="ja-JP"/>
                  <a:t>自作</a:t>
                </a:r>
                <a:r>
                  <a:rPr lang="en-US"/>
                  <a:t>/abaqus)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99339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メイリオ" panose="020B0604030504040204" pitchFamily="50" charset="-128"/>
          <a:ea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Sheet1!$A$3:$A$8</c:f>
              <c:strCache>
                <c:ptCount val="6"/>
                <c:pt idx="0">
                  <c:v>四角形(x)</c:v>
                </c:pt>
                <c:pt idx="1">
                  <c:v>四角形(y)</c:v>
                </c:pt>
                <c:pt idx="2">
                  <c:v>三角形(x)</c:v>
                </c:pt>
                <c:pt idx="3">
                  <c:v>三角形(y)</c:v>
                </c:pt>
                <c:pt idx="4">
                  <c:v>四角形+三角形(x)</c:v>
                </c:pt>
                <c:pt idx="5">
                  <c:v>四角形+三角形(y)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Sheet1!$Q$3:$Q$8</c15:sqref>
                  </c15:fullRef>
                </c:ext>
              </c:extLst>
              <c:f>(Sheet1!$Q$3,Sheet1!$Q$5,Sheet1!$Q$7)</c:f>
              <c:strCache>
                <c:ptCount val="3"/>
                <c:pt idx="0">
                  <c:v>四角形1(x)</c:v>
                </c:pt>
                <c:pt idx="1">
                  <c:v>三角形(x)</c:v>
                </c:pt>
                <c:pt idx="2">
                  <c:v>四角形2(x)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Sheet1!$X$3:$X$8</c15:sqref>
                  </c15:fullRef>
                </c:ext>
              </c:extLst>
              <c:f>(Sheet1!$X$3,Sheet1!$X$5,Sheet1!$X$7)</c:f>
              <c:numCache>
                <c:formatCode>0.00_);[Red]\(0.00\)</c:formatCode>
                <c:ptCount val="3"/>
                <c:pt idx="0">
                  <c:v>3.7154429910529654</c:v>
                </c:pt>
                <c:pt idx="1">
                  <c:v>1.0018150673068014</c:v>
                </c:pt>
                <c:pt idx="2">
                  <c:v>17.046178455234731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C-48E5-8BA8-FA19EF34E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399680"/>
        <c:axId val="993390080"/>
      </c:barChart>
      <c:catAx>
        <c:axId val="993399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defRPr>
                </a:pPr>
                <a:r>
                  <a:rPr lang="ja-JP"/>
                  <a:t>要素の条件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993390080"/>
        <c:crosses val="autoZero"/>
        <c:auto val="1"/>
        <c:lblAlgn val="ctr"/>
        <c:lblOffset val="100"/>
        <c:noMultiLvlLbl val="0"/>
      </c:catAx>
      <c:valAx>
        <c:axId val="9933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defRPr>
                </a:pPr>
                <a:r>
                  <a:rPr lang="ja-JP" altLang="en-US"/>
                  <a:t>変位</a:t>
                </a:r>
                <a:r>
                  <a:rPr lang="ja-JP"/>
                  <a:t>の倍率</a:t>
                </a:r>
                <a:r>
                  <a:rPr lang="en-US"/>
                  <a:t>(</a:t>
                </a:r>
                <a:r>
                  <a:rPr lang="ja-JP"/>
                  <a:t>自作</a:t>
                </a:r>
                <a:r>
                  <a:rPr lang="en-US"/>
                  <a:t>/abaqus) [-]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99339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メイリオ" panose="020B0604030504040204" pitchFamily="50" charset="-128"/>
          <a:ea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3.png"/><Relationship Id="rId7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10" Type="http://schemas.openxmlformats.org/officeDocument/2006/relationships/image" Target="../media/image7.png"/><Relationship Id="rId4" Type="http://schemas.openxmlformats.org/officeDocument/2006/relationships/chart" Target="../charts/chart1.xm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35853</xdr:colOff>
      <xdr:row>15</xdr:row>
      <xdr:rowOff>231203</xdr:rowOff>
    </xdr:from>
    <xdr:to>
      <xdr:col>14</xdr:col>
      <xdr:colOff>376464</xdr:colOff>
      <xdr:row>23</xdr:row>
      <xdr:rowOff>183578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C4A039D-3DCD-2D59-D21C-63636C35A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2174" y="3905132"/>
          <a:ext cx="3660753" cy="1911803"/>
        </a:xfrm>
        <a:prstGeom prst="rect">
          <a:avLst/>
        </a:prstGeom>
      </xdr:spPr>
    </xdr:pic>
    <xdr:clientData/>
  </xdr:twoCellAnchor>
  <xdr:twoCellAnchor editAs="oneCell">
    <xdr:from>
      <xdr:col>17</xdr:col>
      <xdr:colOff>124067</xdr:colOff>
      <xdr:row>14</xdr:row>
      <xdr:rowOff>54428</xdr:rowOff>
    </xdr:from>
    <xdr:to>
      <xdr:col>24</xdr:col>
      <xdr:colOff>211532</xdr:colOff>
      <xdr:row>25</xdr:row>
      <xdr:rowOff>97321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B2BC281-82C5-9670-F310-A065E95AA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84996" y="3483428"/>
          <a:ext cx="4931607" cy="2737107"/>
        </a:xfrm>
        <a:prstGeom prst="rect">
          <a:avLst/>
        </a:prstGeom>
      </xdr:spPr>
    </xdr:pic>
    <xdr:clientData/>
  </xdr:twoCellAnchor>
  <xdr:twoCellAnchor editAs="oneCell">
    <xdr:from>
      <xdr:col>0</xdr:col>
      <xdr:colOff>90324</xdr:colOff>
      <xdr:row>15</xdr:row>
      <xdr:rowOff>192494</xdr:rowOff>
    </xdr:from>
    <xdr:to>
      <xdr:col>5</xdr:col>
      <xdr:colOff>354187</xdr:colOff>
      <xdr:row>24</xdr:row>
      <xdr:rowOff>34212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ABBC8E2-8FB4-534C-5801-036267CE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324" y="3866423"/>
          <a:ext cx="4134695" cy="2046075"/>
        </a:xfrm>
        <a:prstGeom prst="rect">
          <a:avLst/>
        </a:prstGeom>
      </xdr:spPr>
    </xdr:pic>
    <xdr:clientData/>
  </xdr:twoCellAnchor>
  <xdr:twoCellAnchor>
    <xdr:from>
      <xdr:col>5</xdr:col>
      <xdr:colOff>25855</xdr:colOff>
      <xdr:row>25</xdr:row>
      <xdr:rowOff>32658</xdr:rowOff>
    </xdr:from>
    <xdr:to>
      <xdr:col>11</xdr:col>
      <xdr:colOff>813708</xdr:colOff>
      <xdr:row>36</xdr:row>
      <xdr:rowOff>163286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43ED5EA4-3BC8-A2CD-E456-6ED8DDFF9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44906</xdr:colOff>
      <xdr:row>24</xdr:row>
      <xdr:rowOff>229961</xdr:rowOff>
    </xdr:from>
    <xdr:to>
      <xdr:col>16</xdr:col>
      <xdr:colOff>163287</xdr:colOff>
      <xdr:row>36</xdr:row>
      <xdr:rowOff>115661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E888B473-A0F0-E2C3-8626-709FA0347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257177</xdr:colOff>
      <xdr:row>24</xdr:row>
      <xdr:rowOff>205468</xdr:rowOff>
    </xdr:from>
    <xdr:to>
      <xdr:col>22</xdr:col>
      <xdr:colOff>751116</xdr:colOff>
      <xdr:row>36</xdr:row>
      <xdr:rowOff>91168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70B42D78-AD0D-D04A-2D25-15D96C6A2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14</xdr:col>
      <xdr:colOff>598713</xdr:colOff>
      <xdr:row>16</xdr:row>
      <xdr:rowOff>36828</xdr:rowOff>
    </xdr:from>
    <xdr:to>
      <xdr:col>15</xdr:col>
      <xdr:colOff>1864178</xdr:colOff>
      <xdr:row>23</xdr:row>
      <xdr:rowOff>48602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4923C4D-E0F9-63B1-ADC3-D8DB1E483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44892" y="3955685"/>
          <a:ext cx="2109108" cy="1726274"/>
        </a:xfrm>
        <a:prstGeom prst="rect">
          <a:avLst/>
        </a:prstGeom>
      </xdr:spPr>
    </xdr:pic>
    <xdr:clientData/>
  </xdr:twoCellAnchor>
  <xdr:twoCellAnchor editAs="oneCell">
    <xdr:from>
      <xdr:col>5</xdr:col>
      <xdr:colOff>163288</xdr:colOff>
      <xdr:row>15</xdr:row>
      <xdr:rowOff>137300</xdr:rowOff>
    </xdr:from>
    <xdr:to>
      <xdr:col>8</xdr:col>
      <xdr:colOff>190501</xdr:colOff>
      <xdr:row>23</xdr:row>
      <xdr:rowOff>154741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30BC8FC-2668-7FF9-76A1-3B07CDBE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95109" y="3811229"/>
          <a:ext cx="2041071" cy="1976869"/>
        </a:xfrm>
        <a:prstGeom prst="rect">
          <a:avLst/>
        </a:prstGeom>
      </xdr:spPr>
    </xdr:pic>
    <xdr:clientData/>
  </xdr:twoCellAnchor>
  <xdr:twoCellAnchor editAs="oneCell">
    <xdr:from>
      <xdr:col>26</xdr:col>
      <xdr:colOff>638735</xdr:colOff>
      <xdr:row>14</xdr:row>
      <xdr:rowOff>11207</xdr:rowOff>
    </xdr:from>
    <xdr:to>
      <xdr:col>28</xdr:col>
      <xdr:colOff>286510</xdr:colOff>
      <xdr:row>25</xdr:row>
      <xdr:rowOff>78443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003777F-1DBF-ED55-9149-E45A427EA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405911" y="3305736"/>
          <a:ext cx="1014893" cy="2655795"/>
        </a:xfrm>
        <a:prstGeom prst="rect">
          <a:avLst/>
        </a:prstGeom>
      </xdr:spPr>
    </xdr:pic>
    <xdr:clientData/>
  </xdr:twoCellAnchor>
  <xdr:twoCellAnchor editAs="oneCell">
    <xdr:from>
      <xdr:col>24</xdr:col>
      <xdr:colOff>358588</xdr:colOff>
      <xdr:row>14</xdr:row>
      <xdr:rowOff>44824</xdr:rowOff>
    </xdr:from>
    <xdr:to>
      <xdr:col>26</xdr:col>
      <xdr:colOff>205746</xdr:colOff>
      <xdr:row>25</xdr:row>
      <xdr:rowOff>100853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44FAD4F-D81A-CE38-D452-79499D3CE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758647" y="3339353"/>
          <a:ext cx="1214275" cy="2644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0025-D634-4680-93C3-5B78827A18CF}">
  <dimension ref="A1:AA36"/>
  <sheetViews>
    <sheetView tabSelected="1" topLeftCell="B1" zoomScale="85" zoomScaleNormal="85" workbookViewId="0">
      <selection activeCell="AB4" sqref="AB3:AB4"/>
    </sheetView>
  </sheetViews>
  <sheetFormatPr defaultRowHeight="18.75" x14ac:dyDescent="0.4"/>
  <cols>
    <col min="1" max="1" width="17.25" bestFit="1" customWidth="1"/>
    <col min="2" max="2" width="2.75" bestFit="1" customWidth="1"/>
    <col min="3" max="3" width="10" bestFit="1" customWidth="1"/>
    <col min="4" max="5" width="10.25" bestFit="1" customWidth="1"/>
    <col min="7" max="7" width="11" bestFit="1" customWidth="1"/>
    <col min="8" max="8" width="6.5" bestFit="1" customWidth="1"/>
    <col min="10" max="10" width="10.5" bestFit="1" customWidth="1"/>
    <col min="11" max="11" width="3.125" bestFit="1" customWidth="1"/>
    <col min="12" max="12" width="10.625" bestFit="1" customWidth="1"/>
    <col min="13" max="13" width="10.25" bestFit="1" customWidth="1"/>
    <col min="15" max="15" width="11" bestFit="1" customWidth="1"/>
    <col min="16" max="16" width="26.75" bestFit="1" customWidth="1"/>
    <col min="17" max="17" width="10.875" bestFit="1" customWidth="1"/>
    <col min="18" max="18" width="8.5" bestFit="1" customWidth="1"/>
    <col min="19" max="19" width="3" bestFit="1" customWidth="1"/>
    <col min="20" max="20" width="9.75" bestFit="1" customWidth="1"/>
    <col min="21" max="21" width="12.75" bestFit="1" customWidth="1"/>
    <col min="23" max="23" width="11" bestFit="1" customWidth="1"/>
    <col min="24" max="24" width="9.375" bestFit="1" customWidth="1"/>
  </cols>
  <sheetData>
    <row r="1" spans="1:27" x14ac:dyDescent="0.4">
      <c r="B1" t="s">
        <v>8</v>
      </c>
      <c r="J1" t="s">
        <v>9</v>
      </c>
      <c r="R1" t="s">
        <v>10</v>
      </c>
    </row>
    <row r="2" spans="1:27" x14ac:dyDescent="0.4">
      <c r="D2" t="s">
        <v>0</v>
      </c>
      <c r="E2" t="s">
        <v>1</v>
      </c>
      <c r="G2" t="s">
        <v>6</v>
      </c>
      <c r="H2" t="s">
        <v>11</v>
      </c>
      <c r="L2" t="s">
        <v>0</v>
      </c>
      <c r="M2" t="s">
        <v>1</v>
      </c>
      <c r="O2" t="s">
        <v>6</v>
      </c>
      <c r="P2" t="s">
        <v>11</v>
      </c>
      <c r="T2" t="s">
        <v>0</v>
      </c>
      <c r="U2" t="s">
        <v>1</v>
      </c>
      <c r="W2" t="s">
        <v>6</v>
      </c>
      <c r="X2" t="s">
        <v>11</v>
      </c>
    </row>
    <row r="3" spans="1:27" x14ac:dyDescent="0.4">
      <c r="A3" t="str">
        <f t="shared" ref="A3:A8" si="0">B3&amp;"("&amp;C3&amp;")"</f>
        <v>四角形(x)</v>
      </c>
      <c r="B3" t="s">
        <v>12</v>
      </c>
      <c r="C3" t="s">
        <v>15</v>
      </c>
      <c r="D3" s="1">
        <v>2.5573769999999999E-6</v>
      </c>
      <c r="E3" s="1">
        <v>3.8999999999999999E-6</v>
      </c>
      <c r="G3" s="1">
        <f>IF(E3=0, 0, (D3-E3)/E3*100)</f>
        <v>-34.42623076923077</v>
      </c>
      <c r="H3" s="2">
        <f t="shared" ref="H3:H11" si="1">IF(D3=0, 1, E3/D3)</f>
        <v>1.5250000293269237</v>
      </c>
      <c r="J3" t="s">
        <v>4</v>
      </c>
      <c r="K3" t="s">
        <v>2</v>
      </c>
      <c r="L3" s="1">
        <v>1.8980319803198E-5</v>
      </c>
      <c r="M3" s="1">
        <v>3.6199999999999999E-5</v>
      </c>
      <c r="O3" s="1">
        <f>IF(M3=0, 0, (L3-M3)/M3*100)</f>
        <v>-47.568177339232044</v>
      </c>
      <c r="P3" s="2">
        <f>IF(L3=0, 1, ABS(M3/L3))</f>
        <v>1.9072386753936912</v>
      </c>
      <c r="Q3" t="str">
        <f t="shared" ref="Q3:Q8" si="2">R3&amp;"("&amp;S3&amp;")"</f>
        <v>四角形1(x)</v>
      </c>
      <c r="R3" t="s">
        <v>17</v>
      </c>
      <c r="S3" t="s">
        <v>15</v>
      </c>
      <c r="T3">
        <v>8.1551513703653701E-4</v>
      </c>
      <c r="U3" s="1">
        <v>3.0300000000000001E-3</v>
      </c>
      <c r="W3" s="1">
        <f>IF(U3=0, 0, (T3-U3)/U3*100)</f>
        <v>-73.085309008695148</v>
      </c>
      <c r="X3" s="2">
        <f>IF(T3=0, 1, ABS(U3/T3))</f>
        <v>3.7154429910529654</v>
      </c>
      <c r="Z3" s="1">
        <v>0</v>
      </c>
      <c r="AA3">
        <v>8.1551513703653701E-4</v>
      </c>
    </row>
    <row r="4" spans="1:27" x14ac:dyDescent="0.4">
      <c r="A4" t="str">
        <f t="shared" si="0"/>
        <v>四角形(y)</v>
      </c>
      <c r="B4" t="s">
        <v>12</v>
      </c>
      <c r="C4" t="s">
        <v>16</v>
      </c>
      <c r="D4" s="1">
        <v>8.5245900000000007E-6</v>
      </c>
      <c r="E4" s="1">
        <v>9.0999999999999993E-6</v>
      </c>
      <c r="G4" s="1">
        <f t="shared" ref="G4:G11" si="3">IF(E4=0, 0, (D4-E4)/E4*100)</f>
        <v>-6.3231868131867985</v>
      </c>
      <c r="H4" s="2">
        <f t="shared" si="1"/>
        <v>1.0675000205288463</v>
      </c>
      <c r="K4" t="s">
        <v>3</v>
      </c>
      <c r="L4" s="1">
        <v>-8.0910209102091002E-6</v>
      </c>
      <c r="M4" s="1">
        <v>1.7900000000000001E-5</v>
      </c>
      <c r="O4" s="1">
        <f t="shared" ref="O4:O12" si="4">IF(M4=0, 0, (L4-M4)/M4*100)</f>
        <v>-145.20123413524635</v>
      </c>
      <c r="P4" s="2">
        <f t="shared" ref="P4:P12" si="5">IF(L4=0, 1, ABS(M4/L4))</f>
        <v>2.2123289753724542</v>
      </c>
      <c r="Q4" t="str">
        <f t="shared" si="2"/>
        <v>四角形1(y)</v>
      </c>
      <c r="R4" t="s">
        <v>17</v>
      </c>
      <c r="S4" t="s">
        <v>16</v>
      </c>
      <c r="T4" s="1">
        <v>0</v>
      </c>
      <c r="U4" s="1">
        <v>0</v>
      </c>
      <c r="W4" s="1">
        <f t="shared" ref="W4" si="6">IF(U4=0, 0, (T4-U4)/U4*100)</f>
        <v>0</v>
      </c>
      <c r="X4" s="2">
        <f>IF(T4=0, 1, ABS(U4/T4))</f>
        <v>1</v>
      </c>
      <c r="Z4" s="1">
        <v>1</v>
      </c>
      <c r="AA4" s="1">
        <v>3.2452163849417798E-7</v>
      </c>
    </row>
    <row r="5" spans="1:27" x14ac:dyDescent="0.4">
      <c r="A5" t="str">
        <f t="shared" si="0"/>
        <v>三角形(x)</v>
      </c>
      <c r="B5" t="s">
        <v>13</v>
      </c>
      <c r="C5" t="s">
        <v>15</v>
      </c>
      <c r="D5" s="1">
        <v>0</v>
      </c>
      <c r="E5">
        <v>0</v>
      </c>
      <c r="G5" s="1">
        <f t="shared" si="3"/>
        <v>0</v>
      </c>
      <c r="H5" s="2">
        <f t="shared" si="1"/>
        <v>1</v>
      </c>
      <c r="J5" t="s">
        <v>5</v>
      </c>
      <c r="K5" t="s">
        <v>2</v>
      </c>
      <c r="L5" s="1">
        <v>2.5999999999999998E-5</v>
      </c>
      <c r="M5" s="1">
        <v>2.5999999999999998E-5</v>
      </c>
      <c r="O5" s="1">
        <f t="shared" si="4"/>
        <v>0</v>
      </c>
      <c r="P5" s="2">
        <f t="shared" si="5"/>
        <v>1</v>
      </c>
      <c r="Q5" t="str">
        <f t="shared" si="2"/>
        <v>三角形(x)</v>
      </c>
      <c r="R5" t="s">
        <v>13</v>
      </c>
      <c r="S5" t="s">
        <v>15</v>
      </c>
      <c r="T5">
        <v>1.26769904091597E-3</v>
      </c>
      <c r="U5" s="1">
        <v>1.2700000000000001E-3</v>
      </c>
      <c r="W5" s="1">
        <f>IF(U5=0, 0, (T5-U5)/U5*100)</f>
        <v>-0.1811778806322896</v>
      </c>
      <c r="X5" s="2">
        <f t="shared" ref="X5:X8" si="7">IF(T5=0, 1, ABS(U5/T5))</f>
        <v>1.0018150673068014</v>
      </c>
      <c r="Z5" s="1">
        <v>2</v>
      </c>
      <c r="AA5">
        <v>1.26769904091597E-3</v>
      </c>
    </row>
    <row r="6" spans="1:27" x14ac:dyDescent="0.4">
      <c r="A6" t="str">
        <f t="shared" si="0"/>
        <v>三角形(y)</v>
      </c>
      <c r="B6" t="s">
        <v>13</v>
      </c>
      <c r="C6" t="s">
        <v>16</v>
      </c>
      <c r="D6" s="1">
        <v>7.4285000000000001E-6</v>
      </c>
      <c r="E6" s="1">
        <v>7.43E-6</v>
      </c>
      <c r="G6" s="1">
        <f t="shared" si="3"/>
        <v>-2.0188425302825046E-2</v>
      </c>
      <c r="H6" s="2">
        <f t="shared" si="1"/>
        <v>1.0002019250185097</v>
      </c>
      <c r="K6" t="s">
        <v>3</v>
      </c>
      <c r="L6">
        <v>0</v>
      </c>
      <c r="M6" s="1">
        <v>0</v>
      </c>
      <c r="O6" s="1">
        <f t="shared" si="4"/>
        <v>0</v>
      </c>
      <c r="P6" s="2">
        <f t="shared" si="5"/>
        <v>1</v>
      </c>
      <c r="Q6" t="str">
        <f t="shared" si="2"/>
        <v>三角形(y)</v>
      </c>
      <c r="R6" t="s">
        <v>13</v>
      </c>
      <c r="S6" t="s">
        <v>16</v>
      </c>
      <c r="T6" s="1">
        <v>0</v>
      </c>
      <c r="U6" s="1">
        <v>0</v>
      </c>
      <c r="W6" s="1">
        <f t="shared" ref="W6:W8" si="8">IF(U6=0, 0, (T6-U6)/U6*100)</f>
        <v>0</v>
      </c>
      <c r="X6" s="2">
        <f t="shared" si="7"/>
        <v>1</v>
      </c>
      <c r="Z6">
        <v>3</v>
      </c>
      <c r="AA6" s="1">
        <v>-6.3725522111263603E-10</v>
      </c>
    </row>
    <row r="7" spans="1:27" x14ac:dyDescent="0.4">
      <c r="A7" t="str">
        <f t="shared" si="0"/>
        <v>四角形+三角形(x)</v>
      </c>
      <c r="B7" t="s">
        <v>14</v>
      </c>
      <c r="C7" t="s">
        <v>15</v>
      </c>
      <c r="D7" s="1">
        <v>0</v>
      </c>
      <c r="E7" s="1">
        <v>0</v>
      </c>
      <c r="G7" s="1">
        <f t="shared" si="3"/>
        <v>0</v>
      </c>
      <c r="H7" s="2">
        <f t="shared" si="1"/>
        <v>1</v>
      </c>
      <c r="J7" t="s">
        <v>7</v>
      </c>
      <c r="K7" t="s">
        <v>2</v>
      </c>
      <c r="L7" s="1">
        <v>3.8999999999999999E-5</v>
      </c>
      <c r="M7" s="1">
        <v>2.1499999999999999E-4</v>
      </c>
      <c r="O7" s="1">
        <f t="shared" si="4"/>
        <v>-81.860465116279073</v>
      </c>
      <c r="P7" s="2">
        <f t="shared" si="5"/>
        <v>5.5128205128205128</v>
      </c>
      <c r="Q7" t="str">
        <f t="shared" si="2"/>
        <v>四角形2(x)</v>
      </c>
      <c r="R7" t="s">
        <v>18</v>
      </c>
      <c r="S7" t="s">
        <v>15</v>
      </c>
      <c r="T7" s="1">
        <v>1.3727417005196299E-4</v>
      </c>
      <c r="U7" s="1">
        <v>2.3400000000000001E-3</v>
      </c>
      <c r="W7" s="1">
        <f t="shared" si="8"/>
        <v>-94.133582476411831</v>
      </c>
      <c r="X7" s="2">
        <f t="shared" si="7"/>
        <v>17.046178455234731</v>
      </c>
      <c r="Z7" s="1">
        <v>4</v>
      </c>
      <c r="AA7" s="1">
        <v>2.0891733037415198E-6</v>
      </c>
    </row>
    <row r="8" spans="1:27" x14ac:dyDescent="0.4">
      <c r="A8" t="str">
        <f t="shared" si="0"/>
        <v>四角形+三角形(y)</v>
      </c>
      <c r="B8" t="s">
        <v>14</v>
      </c>
      <c r="C8" t="s">
        <v>16</v>
      </c>
      <c r="D8" s="1">
        <v>1.3276E-5</v>
      </c>
      <c r="E8" s="1">
        <v>1.3499999999999999E-5</v>
      </c>
      <c r="G8" s="1">
        <f t="shared" si="3"/>
        <v>-1.6592592592592585</v>
      </c>
      <c r="H8" s="2">
        <f t="shared" si="1"/>
        <v>1.016872551973486</v>
      </c>
      <c r="K8" t="s">
        <v>3</v>
      </c>
      <c r="L8" s="1">
        <v>-2.5999999999999998E-5</v>
      </c>
      <c r="M8" s="1">
        <v>5.8499999999999999E-5</v>
      </c>
      <c r="O8" s="1">
        <f t="shared" si="4"/>
        <v>-144.44444444444443</v>
      </c>
      <c r="P8" s="2">
        <f t="shared" si="5"/>
        <v>2.25</v>
      </c>
      <c r="Q8" t="str">
        <f t="shared" si="2"/>
        <v>四角形2(y)</v>
      </c>
      <c r="R8" t="s">
        <v>18</v>
      </c>
      <c r="S8" t="s">
        <v>16</v>
      </c>
      <c r="T8" s="1">
        <v>0</v>
      </c>
      <c r="U8" s="1">
        <v>0</v>
      </c>
      <c r="W8" s="1">
        <f t="shared" si="8"/>
        <v>0</v>
      </c>
      <c r="X8" s="2">
        <f t="shared" si="7"/>
        <v>1</v>
      </c>
      <c r="Z8" s="1">
        <v>5</v>
      </c>
      <c r="AA8" s="1">
        <v>1.8790492457191499E-8</v>
      </c>
    </row>
    <row r="9" spans="1:27" x14ac:dyDescent="0.4">
      <c r="C9" t="s">
        <v>2</v>
      </c>
      <c r="D9" s="1">
        <v>1.6597E-6</v>
      </c>
      <c r="E9" s="1">
        <v>1.809E-6</v>
      </c>
      <c r="G9" s="1">
        <f t="shared" si="3"/>
        <v>-8.2531785516860143</v>
      </c>
      <c r="H9" s="2">
        <f t="shared" si="1"/>
        <v>1.0899560161474966</v>
      </c>
      <c r="K9" t="s">
        <v>2</v>
      </c>
      <c r="M9" s="1">
        <v>7.1500000000000003E-5</v>
      </c>
      <c r="O9" s="1">
        <f t="shared" si="4"/>
        <v>-100</v>
      </c>
      <c r="P9" s="2">
        <f t="shared" si="5"/>
        <v>1</v>
      </c>
      <c r="S9" t="s">
        <v>15</v>
      </c>
      <c r="T9" s="1">
        <v>5.7599999999999997E-7</v>
      </c>
      <c r="U9" s="1">
        <v>2.2748E-3</v>
      </c>
      <c r="W9" s="1">
        <f t="shared" ref="W9:W12" si="9">IF(U9=0, 0, (T9-U9)/U9*100)</f>
        <v>-99.974679092667486</v>
      </c>
      <c r="X9" s="2">
        <f t="shared" ref="X9:X12" si="10">IF(T9=0, 1, ABS(U9/T9))</f>
        <v>3949.3055555555557</v>
      </c>
    </row>
    <row r="10" spans="1:27" x14ac:dyDescent="0.4">
      <c r="C10" t="s">
        <v>3</v>
      </c>
      <c r="D10" s="1">
        <v>4.4255000000000002E-6</v>
      </c>
      <c r="E10" s="1">
        <v>4.4896899999999997E-6</v>
      </c>
      <c r="G10" s="1">
        <f t="shared" si="3"/>
        <v>-1.4297200920330684</v>
      </c>
      <c r="H10" s="2">
        <f t="shared" si="1"/>
        <v>1.014504575754152</v>
      </c>
      <c r="K10" t="s">
        <v>3</v>
      </c>
      <c r="L10" s="1"/>
      <c r="M10" s="1">
        <v>5.8499999999999999E-5</v>
      </c>
      <c r="O10" s="1">
        <f t="shared" si="4"/>
        <v>-100</v>
      </c>
      <c r="P10" s="2">
        <f t="shared" si="5"/>
        <v>1</v>
      </c>
      <c r="S10" s="1" t="s">
        <v>16</v>
      </c>
      <c r="T10" s="1"/>
      <c r="U10" s="1">
        <v>5.13E-14</v>
      </c>
      <c r="W10" s="1">
        <f t="shared" si="9"/>
        <v>-100</v>
      </c>
      <c r="X10" s="2">
        <f t="shared" si="10"/>
        <v>1</v>
      </c>
      <c r="Z10" s="1"/>
    </row>
    <row r="11" spans="1:27" x14ac:dyDescent="0.4">
      <c r="C11" t="s">
        <v>2</v>
      </c>
      <c r="D11" s="1">
        <v>-4.9484226240435498E-21</v>
      </c>
      <c r="E11" s="1">
        <v>1.2499999999999999E-21</v>
      </c>
      <c r="G11" s="1">
        <f t="shared" si="3"/>
        <v>-495.87380992348403</v>
      </c>
      <c r="H11" s="2">
        <f t="shared" si="1"/>
        <v>-0.25260574833007615</v>
      </c>
      <c r="K11" t="s">
        <v>2</v>
      </c>
      <c r="L11" s="1">
        <v>8.3571428571428498E-5</v>
      </c>
      <c r="M11" s="1">
        <v>8.3599999999999999E-5</v>
      </c>
      <c r="O11" s="1">
        <f t="shared" si="4"/>
        <v>-3.4176349965910166E-2</v>
      </c>
      <c r="P11" s="2">
        <f t="shared" si="5"/>
        <v>1.0003418803418813</v>
      </c>
      <c r="S11" s="1" t="s">
        <v>15</v>
      </c>
      <c r="T11">
        <v>2.2764249354437398E-3</v>
      </c>
      <c r="U11" s="1">
        <v>2.2764299999999999E-3</v>
      </c>
      <c r="W11" s="1">
        <f t="shared" si="9"/>
        <v>-2.2247801426125599E-4</v>
      </c>
      <c r="X11" s="2">
        <f t="shared" si="10"/>
        <v>1.0000022247850924</v>
      </c>
    </row>
    <row r="12" spans="1:27" x14ac:dyDescent="0.4">
      <c r="C12" t="s">
        <v>3</v>
      </c>
      <c r="D12" s="1">
        <v>1.34482758620689E-5</v>
      </c>
      <c r="E12" s="1">
        <v>1.34E-5</v>
      </c>
      <c r="K12" t="s">
        <v>3</v>
      </c>
      <c r="L12" s="1">
        <v>0</v>
      </c>
      <c r="M12" s="1">
        <v>0</v>
      </c>
      <c r="O12" s="1">
        <f t="shared" si="4"/>
        <v>0</v>
      </c>
      <c r="P12" s="2">
        <f t="shared" si="5"/>
        <v>1</v>
      </c>
      <c r="S12" t="s">
        <v>16</v>
      </c>
      <c r="T12" s="1">
        <v>5.6970386325589801E-10</v>
      </c>
      <c r="U12" s="1">
        <v>5.6966999999999996E-10</v>
      </c>
      <c r="W12" s="1">
        <f t="shared" si="9"/>
        <v>5.9443635610185053E-3</v>
      </c>
      <c r="X12" s="2">
        <f t="shared" si="10"/>
        <v>0.99994055989772557</v>
      </c>
      <c r="Y12" s="1"/>
    </row>
    <row r="13" spans="1:27" x14ac:dyDescent="0.4">
      <c r="S13" s="1"/>
    </row>
    <row r="14" spans="1:27" x14ac:dyDescent="0.4">
      <c r="M14" s="1"/>
    </row>
    <row r="15" spans="1:27" x14ac:dyDescent="0.4">
      <c r="M15" s="1"/>
    </row>
    <row r="27" spans="2:3" x14ac:dyDescent="0.4">
      <c r="B27">
        <v>0</v>
      </c>
      <c r="C27" s="1">
        <v>1.6313725490196101E-5</v>
      </c>
    </row>
    <row r="28" spans="2:3" x14ac:dyDescent="0.4">
      <c r="B28">
        <v>1</v>
      </c>
      <c r="C28" s="1">
        <v>-4.0784313725490303E-6</v>
      </c>
    </row>
    <row r="29" spans="2:3" x14ac:dyDescent="0.4">
      <c r="B29">
        <v>2</v>
      </c>
      <c r="C29" s="1">
        <v>2.5999999999999998E-5</v>
      </c>
    </row>
    <row r="30" spans="2:3" x14ac:dyDescent="0.4">
      <c r="B30">
        <v>3</v>
      </c>
      <c r="C30" s="1">
        <v>-4.9260861159202902E-37</v>
      </c>
    </row>
    <row r="31" spans="2:3" x14ac:dyDescent="0.4">
      <c r="B31">
        <v>4</v>
      </c>
      <c r="C31" s="1">
        <v>3.8999999999999999E-5</v>
      </c>
    </row>
    <row r="32" spans="2:3" x14ac:dyDescent="0.4">
      <c r="B32">
        <v>5</v>
      </c>
      <c r="C32" s="1">
        <v>-2.5999999999999998E-5</v>
      </c>
    </row>
    <row r="33" spans="2:3" x14ac:dyDescent="0.4">
      <c r="B33">
        <v>6</v>
      </c>
      <c r="C33">
        <v>1.17E-4</v>
      </c>
    </row>
    <row r="34" spans="2:3" x14ac:dyDescent="0.4">
      <c r="B34">
        <v>7</v>
      </c>
      <c r="C34" s="1">
        <v>-6.4375442438058599E-22</v>
      </c>
    </row>
    <row r="35" spans="2:3" x14ac:dyDescent="0.4">
      <c r="B35">
        <v>8</v>
      </c>
      <c r="C35" s="1">
        <v>8.3571428571428498E-5</v>
      </c>
    </row>
    <row r="36" spans="2:3" x14ac:dyDescent="0.4">
      <c r="B36">
        <v>9</v>
      </c>
      <c r="C36" s="1">
        <v>-1.3552527156068799E-20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s210140</dc:creator>
  <cp:lastModifiedBy>s210140</cp:lastModifiedBy>
  <dcterms:created xsi:type="dcterms:W3CDTF">2025-11-13T09:39:32Z</dcterms:created>
  <dcterms:modified xsi:type="dcterms:W3CDTF">2025-11-26T03:32:43Z</dcterms:modified>
</cp:coreProperties>
</file>